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s\Desktop\M2\Photo Electron Spectroscopy\Krypton Photoelectron Spectra\"/>
    </mc:Choice>
  </mc:AlternateContent>
  <xr:revisionPtr revIDLastSave="0" documentId="13_ncr:1_{7A0D9D74-5D1B-4164-AAD9-6DC4BF9ACCF0}" xr6:coauthVersionLast="47" xr6:coauthVersionMax="47" xr10:uidLastSave="{00000000-0000-0000-0000-000000000000}"/>
  <bookViews>
    <workbookView xWindow="2340" yWindow="432" windowWidth="15624" windowHeight="9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F11" i="1"/>
  <c r="D11" i="1"/>
  <c r="C11" i="1"/>
  <c r="E8" i="1" a="1"/>
  <c r="E8" i="1" s="1"/>
  <c r="E9" i="1" s="1"/>
  <c r="C7" i="1"/>
  <c r="C8" i="1" s="1" a="1"/>
  <c r="C8" i="1" s="1"/>
  <c r="C9" i="1" s="1"/>
  <c r="D7" i="1"/>
  <c r="D8" i="1" s="1" a="1"/>
  <c r="D8" i="1" s="1"/>
  <c r="D9" i="1" s="1"/>
  <c r="E7" i="1"/>
  <c r="E11" i="1" s="1"/>
  <c r="F7" i="1"/>
  <c r="F8" i="1" s="1" a="1"/>
  <c r="F8" i="1" s="1"/>
  <c r="F9" i="1" s="1"/>
  <c r="G7" i="1"/>
  <c r="G8" i="1" s="1" a="1"/>
  <c r="G8" i="1" s="1"/>
  <c r="G9" i="1" s="1"/>
  <c r="B7" i="1"/>
  <c r="B8" i="1" l="1" a="1"/>
  <c r="B8" i="1" s="1"/>
  <c r="B9" i="1" s="1"/>
  <c r="G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<sst xmlns="http://schemas.openxmlformats.org/spreadsheetml/2006/main" count="13" uniqueCount="13">
  <si>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Kr_PES_0</t>
  </si>
  <si>
    <t>Kr_PES_1</t>
  </si>
  <si>
    <t>Kr_PES_2</t>
  </si>
  <si>
    <t>Kr_PES_3</t>
  </si>
  <si>
    <t>Kr_PES_4</t>
  </si>
  <si>
    <t>average</t>
  </si>
  <si>
    <t>Peaks Means [eV]</t>
  </si>
  <si>
    <t>std_err(of these not the fitted)</t>
  </si>
  <si>
    <t>std_derr(not the fitted)</t>
  </si>
  <si>
    <t>(also the dist bwtn 2 close peaks)</t>
  </si>
  <si>
    <t xml:space="preserve"> </t>
  </si>
  <si>
    <t>eV (difference between different states due to spin-orbit splitting)</t>
  </si>
  <si>
    <t>spin-orb. Splitting Energy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</si>
</sst>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1" sqref="D11"/>
    </sheetView>
  </sheetViews>
  <sheetFormatPr defaultRowHeight="14.4" x14ac:dyDescent="0.3"/>
  <cols>
    <col min="1" max="1" width="32.109375" style="1" customWidth="1"/>
    <col min="2" max="16384" width="8.88671875" style="1"/>
  </cols>
  <sheetData>
    <row r="1" spans="1:8" x14ac:dyDescent="0.3">
      <c r="A1" s="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8" x14ac:dyDescent="0.3">
      <c r="A2" s="1" t="s">
        <v>0</v>
      </c>
      <c r="B2" s="1">
        <v>16.54</v>
      </c>
      <c r="C2" s="1">
        <v>17.14</v>
      </c>
      <c r="D2" s="1">
        <v>19.73</v>
      </c>
      <c r="E2" s="1">
        <v>20.260000000000002</v>
      </c>
      <c r="F2" s="1">
        <v>22.81</v>
      </c>
      <c r="G2" s="1">
        <v>23.38</v>
      </c>
    </row>
    <row r="3" spans="1:8" x14ac:dyDescent="0.3">
      <c r="A3" s="1" t="s">
        <v>1</v>
      </c>
      <c r="B3" s="1">
        <v>16.510000000000002</v>
      </c>
      <c r="C3" s="1">
        <v>17.18</v>
      </c>
      <c r="D3" s="1">
        <v>19.91</v>
      </c>
      <c r="E3" s="1">
        <v>20.350000000000001</v>
      </c>
      <c r="F3" s="1">
        <v>22.97</v>
      </c>
      <c r="G3" s="1">
        <v>23.45</v>
      </c>
    </row>
    <row r="4" spans="1:8" x14ac:dyDescent="0.3">
      <c r="A4" s="1" t="s">
        <v>2</v>
      </c>
      <c r="B4" s="1">
        <v>16.63</v>
      </c>
      <c r="C4" s="1">
        <v>17.190000000000001</v>
      </c>
      <c r="D4" s="1">
        <v>19.82</v>
      </c>
      <c r="E4" s="1">
        <v>20.350000000000001</v>
      </c>
      <c r="F4" s="1">
        <v>22.91</v>
      </c>
      <c r="G4" s="1">
        <v>23.45</v>
      </c>
    </row>
    <row r="5" spans="1:8" x14ac:dyDescent="0.3">
      <c r="A5" s="1" t="s">
        <v>3</v>
      </c>
      <c r="B5" s="1">
        <v>16.670000000000002</v>
      </c>
      <c r="C5" s="1">
        <v>17.21</v>
      </c>
      <c r="D5" s="1">
        <v>19.84</v>
      </c>
      <c r="E5" s="1">
        <v>20.37</v>
      </c>
      <c r="F5" s="1">
        <v>22.94</v>
      </c>
      <c r="G5" s="1">
        <v>23.46</v>
      </c>
    </row>
    <row r="6" spans="1:8" x14ac:dyDescent="0.3">
      <c r="A6" s="1" t="s">
        <v>4</v>
      </c>
      <c r="B6" s="1">
        <v>16.61</v>
      </c>
      <c r="C6" s="1">
        <v>17.18</v>
      </c>
      <c r="D6" s="1">
        <v>19.87</v>
      </c>
      <c r="E6" s="1">
        <v>20.329999999999998</v>
      </c>
      <c r="F6" s="1">
        <v>22.92</v>
      </c>
      <c r="G6" s="1">
        <v>23.44</v>
      </c>
    </row>
    <row r="7" spans="1:8" x14ac:dyDescent="0.3">
      <c r="A7" s="1" t="s">
        <v>5</v>
      </c>
      <c r="B7" s="1">
        <f>AVERAGE(B2:B6)</f>
        <v>16.591999999999999</v>
      </c>
      <c r="C7" s="1">
        <f t="shared" ref="C7:G7" si="0">AVERAGE(C2:C6)</f>
        <v>17.18</v>
      </c>
      <c r="D7" s="1">
        <f t="shared" si="0"/>
        <v>19.834</v>
      </c>
      <c r="E7" s="1">
        <f t="shared" si="0"/>
        <v>20.332000000000001</v>
      </c>
      <c r="F7" s="1">
        <f t="shared" si="0"/>
        <v>22.91</v>
      </c>
      <c r="G7" s="1">
        <f t="shared" si="0"/>
        <v>23.436</v>
      </c>
    </row>
    <row r="8" spans="1:8" x14ac:dyDescent="0.3">
      <c r="A8" s="1" t="s">
        <v>8</v>
      </c>
      <c r="B8" s="1" cm="1">
        <f t="array" ref="B8">SQRT((1/5)*(SUM((B2:B6-$B$7)^2)))</f>
        <v>5.8787753826796282E-2</v>
      </c>
      <c r="C8" s="1" cm="1">
        <f t="array" ref="C8">SQRT((1/5)*(SUM((C2:C6-$C$7)^2)))</f>
        <v>2.2803508501982896E-2</v>
      </c>
      <c r="D8" s="1" cm="1">
        <f t="array" ref="D8">SQRT((1/5)*(SUM((D2:D6-$D$7)^2)))</f>
        <v>6.0199667773169638E-2</v>
      </c>
      <c r="E8" s="1" cm="1">
        <f t="array" ref="E8">SQRT((1/5)*(SUM((E2:E6-$E$7)^2)))</f>
        <v>3.8157568056677721E-2</v>
      </c>
      <c r="F8" s="1" cm="1">
        <f t="array" ref="F8">SQRT((1/5)*(SUM((F2:F6-$F$7)^2)))</f>
        <v>5.4037024344425609E-2</v>
      </c>
      <c r="G8" s="1" cm="1">
        <f t="array" ref="G8">SQRT((1/5)*(SUM((G2:G6-$G$7)^2)))</f>
        <v>2.8705400188815077E-2</v>
      </c>
    </row>
    <row r="9" spans="1:8" x14ac:dyDescent="0.3">
      <c r="A9" s="1" t="s">
        <v>7</v>
      </c>
      <c r="B9" s="1">
        <f>B8/(SQRT(5))</f>
        <v>2.6290682760247975E-2</v>
      </c>
      <c r="C9" s="1">
        <f t="shared" ref="C9:G9" si="1">C8/(SQRT(5))</f>
        <v>1.019803902718563E-2</v>
      </c>
      <c r="D9" s="1">
        <f t="shared" si="1"/>
        <v>2.6922109872742139E-2</v>
      </c>
      <c r="E9" s="1">
        <f t="shared" si="1"/>
        <v>1.7064583206161187E-2</v>
      </c>
      <c r="F9" s="1">
        <f t="shared" si="1"/>
        <v>2.4166091947189335E-2</v>
      </c>
      <c r="G9" s="1">
        <f t="shared" si="1"/>
        <v>1.2837445228705162E-2</v>
      </c>
    </row>
    <row r="11" spans="1:8" x14ac:dyDescent="0.3">
      <c r="A11" s="1" t="s">
        <v>12</v>
      </c>
      <c r="C11" s="1">
        <f>C7-B7</f>
        <v>0.58800000000000097</v>
      </c>
      <c r="D11" s="2">
        <f>SQRT(B8^2 + C8^2)</f>
        <v>6.3055531081737851E-2</v>
      </c>
      <c r="E11" s="1">
        <f t="shared" ref="E11:G11" si="2">E7-D7</f>
        <v>0.49800000000000111</v>
      </c>
      <c r="F11" s="2">
        <f>SQRT(D8^2 + E8^2)</f>
        <v>7.1274118724821783E-2</v>
      </c>
      <c r="G11" s="1">
        <f t="shared" si="2"/>
        <v>0.5259999999999998</v>
      </c>
      <c r="H11" s="1">
        <f>SQRT(F8^2 + G8^2)</f>
        <v>6.1188234163113996E-2</v>
      </c>
    </row>
    <row r="12" spans="1:8" x14ac:dyDescent="0.3">
      <c r="A12" s="1" t="s">
        <v>9</v>
      </c>
      <c r="B12" s="1" t="s">
        <v>10</v>
      </c>
      <c r="C12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 selahiye</dc:creator>
  <cp:lastModifiedBy>aras selahiye</cp:lastModifiedBy>
  <dcterms:created xsi:type="dcterms:W3CDTF">2023-10-25T20:03:32Z</dcterms:created>
  <dcterms:modified xsi:type="dcterms:W3CDTF">2023-12-14T01:16:14Z</dcterms:modified>
</cp:coreProperties>
</file>